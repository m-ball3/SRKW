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mball3_uw_edu/Documents/Documents/WADE LAB/SRKW/Deliverables/ALL/"/>
    </mc:Choice>
  </mc:AlternateContent>
  <xr:revisionPtr revIDLastSave="0" documentId="8_{57CB1CD6-2556-4163-93BD-0EEC57D30ADC}" xr6:coauthVersionLast="47" xr6:coauthVersionMax="47" xr10:uidLastSave="{00000000-0000-0000-0000-000000000000}"/>
  <bookViews>
    <workbookView xWindow="-98" yWindow="-98" windowWidth="20715" windowHeight="13515" xr2:uid="{3F9652C8-2A26-4361-96ED-34F61A0A7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7" i="1" l="1"/>
  <c r="F28" i="1"/>
  <c r="F29" i="1"/>
  <c r="F30" i="1"/>
  <c r="F31" i="1"/>
  <c r="F25" i="1"/>
  <c r="F26" i="1"/>
  <c r="F24" i="1"/>
  <c r="F23" i="1"/>
  <c r="F22" i="1"/>
  <c r="F21" i="1"/>
  <c r="F20" i="1"/>
  <c r="F19" i="1"/>
  <c r="F18" i="1"/>
  <c r="F17" i="1"/>
  <c r="F16" i="1"/>
  <c r="F15" i="1"/>
  <c r="F14" i="1"/>
  <c r="F13" i="1"/>
  <c r="F11" i="1"/>
  <c r="F12" i="1"/>
  <c r="F10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<sst xmlns="http://schemas.openxmlformats.org/spreadsheetml/2006/main" count="166" uniqueCount="51">
  <si>
    <t>Sample_name</t>
  </si>
  <si>
    <t>proportional_abundance.persamp</t>
  </si>
  <si>
    <t xml:space="preserve">taxonomy </t>
  </si>
  <si>
    <t xml:space="preserve">bp_change </t>
  </si>
  <si>
    <t>notes</t>
  </si>
  <si>
    <t>common_name</t>
  </si>
  <si>
    <t>sequence</t>
  </si>
  <si>
    <t>ATCACGAGGGCTTAGCTGTCTCCTCTTCCAAGTCAATGAAATTGATCTGCCCGTGCAGAAGCGGACATAAGTACATAAGACGAGAAGACCCTATGGAGCTTTAGACACCCGGTAGATCACGTAAATAACCTTGAATTAACAAGTAAAAACGCAGTGACCCCTAGCCCATATGTCTTTGGTTGGGGCGACCGCGGGGGAAAATAAAGCCCCCATGTGGACTGGGGGCACTGCTCCCACAGCCGAGAGCTACAGCTCTAAGCACCAGAATATCTGACCAAAAATGATCCGGCAGACGCCG</t>
  </si>
  <si>
    <t>Onchorhynchus gorbuscha</t>
  </si>
  <si>
    <t>pink salmon</t>
  </si>
  <si>
    <t>F10Jul07-4-S46</t>
  </si>
  <si>
    <t>F20Sept11-01-S41</t>
  </si>
  <si>
    <t>F19Aug17-01A-S50</t>
  </si>
  <si>
    <t>SRR27755057</t>
  </si>
  <si>
    <t>PosCon_S69</t>
  </si>
  <si>
    <t>PosCon-3_S63</t>
  </si>
  <si>
    <t>SRR27755152_R1</t>
  </si>
  <si>
    <t>SRR27755152</t>
  </si>
  <si>
    <t>ATCACGAGGGCTTAGCTGTCTCCTCTTCCAAGTCAATGAAATTGATCTGCCCGTGCGGAAGCGGACATAAGTACATAAGACGAGAAGACCCTATGGAGCTTTAGACACCCGGTAGATCACGTAAATAACCTTGAATTAACAAGTAAAAACGCAGTGACCCCTAGCCCATATGTCTTTGGTTGGGGCGACCGCGGGGGAAAATAAAGCCCCCATGTGGACTGGGGGCACTGCTCCCACAGCCGAGAGCTACAGCTCTAAGCACCAGAATATCTGACCAAAAATGATCCGGCAGACGCCG</t>
  </si>
  <si>
    <t>ASV39</t>
  </si>
  <si>
    <t>ASV43</t>
  </si>
  <si>
    <t>avs_read_count</t>
  </si>
  <si>
    <t>samp_total_read_count_nonchim</t>
  </si>
  <si>
    <t>pos control</t>
  </si>
  <si>
    <t>F10Sept25-1-S58</t>
  </si>
  <si>
    <t>Clupea pallasii</t>
  </si>
  <si>
    <t>Pacific herring</t>
  </si>
  <si>
    <t>ATAACGAGGGTTTAACTGTCTCTTTCTCCTGGTCAGTGAAACTGATCTACCCGTGCAGAAGCGGGTATGAATATACAAGACGAGAAGACCCTATGGAGCTTTAGACGCCCACCAATCACGAAAAGCAGGTCTCGCTCAACGGACCCCCAAACAACGTGATACTGGCACAAACGTCTTCGGTTGGGGCGACCGCGGGAGAGAAAGAAGCTCCCGAGAGGATTGGGGCTACCCTAAAACCAAGAGCTACACCTCTAAGTCACAAAACATTTGACCAAAAATGATCCGGCTACATGCCG</t>
  </si>
  <si>
    <t>ATCACGAGGGTTTAACTGTCTCTTTCTCCTGGTCAGTGAAACTGATCTACCCGTGCAGAAGCGGGTATGAATATACAAGACGAGAAGACCCTATGGAGCTTTAGACGCCCACCAATCACGAAAAGCAGGTCTCGCTCAACGGACCCCCAAACAACGTGATACTGGCACAAACGTCTTCGGTTGGGGCGACCGCGGGAGAGAAAGAAGCTCCCGAGAGGATTGGGGCTACCCTAAAACCAAGAGCTACACCTCTAAGTCACAAAACATTTGACCAAAAATGATCCGGCTACATGCCG</t>
  </si>
  <si>
    <t>ATAACGAGGGTTTAACTGTCTCTTTCTCCTGGTCAGTGAAACTGATCTACCCGTGCAGAAGCGGGTATGAATATACAAGACGAGAAGACCCTATGGAGCTTTAGACGCCCACCAATCACGAACAGCAGGTCTCGCTCAACGGACCCCCAAACAACGTGATACTGGCACAAACGTCTTCGGTTGGGGCGACCGCGGGAGAGAAAGAAGCTCCCGAGAGGATTGGGGCTACCCTAAAACCAAGAGCTACACCTCTAAGTCACAAAACATTTGACCAAAAATGATCCGGCTACATGCCG</t>
  </si>
  <si>
    <t>glommed_ASV</t>
  </si>
  <si>
    <t>ASV55</t>
  </si>
  <si>
    <t>ATAACGAGGGTTTACCTGTCTCTTTCTCCTGGTCAGTGAAACTGATCTACCCGTGCAGAAGCGGGTATGAATATACAAGACGAGAAGACCCTATGGAGCTTTAGACGCCCACCAATCACGAAAAGCAGGTCTCGCTCAACGGACCCCCAAACAACGTGATACTGGCACAAACGTCTTCGGTTGGGGCGACCGCGGGAGAGAAAGAAGCTCCCGAGAGGATTGGGGCTACCCTAAAACCAAGAGCTACACCTCTAAGTCACAAAACATTTGACCAAAAATGATCCGGCTACATGCCG</t>
  </si>
  <si>
    <t>ATCACGAGGGTTTACCTGTCTCTTTCTCCTGGTCAGTGAAACTGATCTACCCGTGCAGAAGCGGGTATGAATATACAAGACGAGAAGACCCTATGGAGCTTTAGACGCCCACCAATCACGAAAAGCAGGTCTCGCTCAACGGACCCCCAAACAACGTGATACTGGCACAAACGTCTTCGGTTGGGGCGACCGCGGGAGAGAAAGAAGCTCCCGAGAGGATTGGGGCTACCCTAAAACCAAGAGCTACACCTCTAAGTCACAAAACATTTGACCAAAAATGATCCGGCTACATGCCG</t>
  </si>
  <si>
    <t>ATAACGAGGGTTTAACTGTCTCTTTCTCCTGGTCAGTGAAACTGATCTACCCGTGCAGAAGCGGGTATGAATATACAAGACGAGAAGACCCTATGGAGCTTTAGACGCCCACCAATCACGAAAAGCAGGTCTCGCTCAACGGACCCCCAAACAACGTGATGCTGGCACAAACGTCTTCGGTTGGGGCGACCGCGGGAGAGAAAGAAGCTCCCGAGAGGATTGGGGCTACCCTAAAACCAAGAGCTACACCTCTAAGTCACAAAACATTTGACCAAAAATGATCCGGCTACATGCCG</t>
  </si>
  <si>
    <t>ATAACGAGGGTTTAACTGTCTCTTTCTCCTGGTCAGTGAAACTGATCTACCCGTGCAGAAGCGGGTATGAATATACAAGACGAGAAGACCCTATGGAGCTTTAGACGCCTACCAATCACGAAAAGCAGGTCTCGCTCAACGGACCCCCAAACAACGTGATACTGGCACAAACGTCTTCGGTTGGGGCGACCGCGGGAGAGAAAGAAGCTCCCGAGAGGATTGGGGCTACCCTAAAACCAAGAGCTACACCTCTAAGTCACAAAACATTTGACCAAAAATGATCCGGCTACATGCCG</t>
  </si>
  <si>
    <t>ATAACGAGGGTTTAACTGTCTCTTTCTCCTGGTCAGTGAAACTGATCTACCCGTGCAGAAGCGGGTATGAATATACAAGACGAGAAGACCCTATGGAGCTTTAGACGCCCACCAATCACGAAAAGCAGGTCTCGCTCAACGAACCCCCAAACAACGTGATACTGGCACAAACGTCTTCGGTTGGGGCGACCGCGGGAGAGAAAGAAGCTCCCGAGAGGATTGGGGCTACCCTAAAACCAAGAGCTACACCTCTAAGTCACAAAACATTTGACCAAAAATGATCCGGCTACATGCCG</t>
  </si>
  <si>
    <t>ATAACGAGGGTTTAACTGTCTCTTTCTCCTGGTCAGTGAAACTGATCTACCCGTGCAGAAGCGGGTATGAATATACAAGACGAGAAGACCCTATGGAGCTTTAGACGCCCACCAATCACGAAAAGCAGGTCTCGCTCAACGGACCCCCAAACAACGTGATACTGGCACAAACGTCTTCGGTTGGGGCGACCGCGGGAGAGAAAGAAGCTCCCGAGAGGATTGGGGCTACCCTAAAACCAAGAGCTACACCTCTAAGTCACAAAACATTTGGCCAAAAATGATCCGGCTACATGCCG</t>
  </si>
  <si>
    <t>ATAACGAGGGTTTAACTGTCTCTTTCTCCTGGTCAGTGAAACTGAGCTACCCGTGCAGAAGCGGGTATGAATATACAAGACGAGAAGACCCTATGGAGCTTTAGACGCCCACCAATCACGAAAAGCAGGTCTCGCTCAACGGACCCCCAAACAACGTGATACTGGCACAAACGTCTTCGGTTGGGGCGACCGCGGGAGAGAAAGAAGCTCCCGAGAGGATTGGGGCTACCCTAAAACCAAGAGCTACACCTCTAAGTCACAAAACATTTGACCAAAAATGATCCGGCTACATGCCG</t>
  </si>
  <si>
    <t>ATAACGAGGGTTTAACTGTCTCTTTATCCTGGTCAGTGAAACTGATCTACCCGTGCAGAAGCGGGTATGAATATACAAGACGAGAAGACCCTATGGAGCTTTAGACGCCCACCAATCACGAAAAGCAGGTCTCGCTCAACGGACCCCCAAACAACGTGATACTGGCACAAACGTCTTCGGTTGGGGCGACCGCGGGAGAGAAAGAAGCTCCCGAGAGGATTGGGGCTACCCTAAAACCAAGAGCTACACCTCTAAGTCACAAAACATTTGACCAAAAATGATCCGGCTACATGCCG</t>
  </si>
  <si>
    <t>ATCACGAGGGCTTAGCTGTCTCCTCTTCCAAGTCAATGAAATTGATCTGCCCGTGCAGAAGCGGACATAAACACATAAGACGAGAAGACCCTATGGAGCTTTAGACACCAGGCAGATCACGTCAAGTAACCTTGAATTAACAAGTAAAAACGCAGTGACCCCTAGCCCATATGTCTTTGGTTGGGGCGACCGCGGGGGAAAACAAAGCCCCCATGTGGACTGGGGGCACTGCCCCCACAACCAAGAGTCACAACTCTAAGTACCAGAATTTCTGACCAAAAATGATCCGGCATGACGCCG</t>
  </si>
  <si>
    <t>Salmo salar</t>
  </si>
  <si>
    <t>Atlantic salmon</t>
  </si>
  <si>
    <t>ATCACGAGGGCTTAGCTGTCTCCTCTTCCAAGTCAATGAAATTGATCTGCCCGTGCAGAAGCGGACATAAACACATAAGACGAGAAGACCCTATGGAGCTTTAGACACCAGGCAGATCACGTCAAGTAACCTTGAATTAACAAGTAAAAACGCAGTGACCCCTAGCCCATATGTCTTTGGTTGGGGCGACCGCGGGGGAAAACAAAGCCCCCATGTGGACTGGGGGCACTGCCCCCACAACCAAGAGTCACAACTCTAAGTACCAGAATTTCTGACCAAAAATGATCCGGCATCACGCCG</t>
  </si>
  <si>
    <t>SRR27754994</t>
  </si>
  <si>
    <t>ATCACGAGGGCTTAGCTGTCTCCTCTTCCAAGTCAATGAAATTGATCTGCCCGTGCAGAAGCGGACATAAACACATAAGACGAGAAGACCCTATGGAGCTTTAGACACCAGGCAGATCACGTCAAGTAACCTTGAATTAACAAGTAAAAACGCAGTGACCCCTAGCCCATATGTCTTTGGTTGGGGCGACCACGGGGGAAAACAAAGCCCCCATGTGGACTGGGGGCACTGCCCCCACAACCAAGAGTCACAACTCTAAGTACCAGAATTTCTGACCAAAAATGATCCGGCATGACGCCG</t>
  </si>
  <si>
    <t>ATCACGAGGGCTTAGCTGTCTCCTCTTCCAAGTCAATGAAATTGATCTGCCCGTGCAGAAGCGGACATAAACACATAAGACGAGAAGACCCTATGGAGCTTTAGACACCAGGCAGATCACGTCAAGTAACCTTGAATTAACAAGTAAAAACGCAGTGACCCCTAGCCCATATGTCTTTGGTTGGGGCGACCGCGGGGGAAAACAAAGCCCCCATGTGGACTGGGGGCACTGCCCCCACAACCAAGAGTCACAACTCTAAGTACCAGAATTTCTGACCAAAAAGGAGCCGGCAGGACGCCG</t>
  </si>
  <si>
    <t>SRR27755148_R1</t>
  </si>
  <si>
    <t>SRR27755154_R1</t>
  </si>
  <si>
    <t>SRR27755173_R1</t>
  </si>
  <si>
    <t>SRR27755196_R1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</si>
</sst>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DB24-CF19-4D12-BE1A-2016853B3345}">
  <dimension ref="A1:J31"/>
  <sheetViews>
    <sheetView tabSelected="1" topLeftCell="A7" workbookViewId="0">
      <selection activeCell="I28" sqref="I28"/>
    </sheetView>
  </sheetViews>
  <sheetFormatPr defaultRowHeight="14.25" x14ac:dyDescent="0.45"/>
  <cols>
    <col min="3" max="3" width="15.796875" bestFit="1" customWidth="1"/>
    <col min="4" max="4" width="13" bestFit="1" customWidth="1"/>
    <col min="5" max="5" width="27.06640625" bestFit="1" customWidth="1"/>
    <col min="6" max="6" width="27.59765625" bestFit="1" customWidth="1"/>
    <col min="7" max="7" width="21.86328125" bestFit="1" customWidth="1"/>
    <col min="8" max="8" width="13" bestFit="1" customWidth="1"/>
    <col min="9" max="9" width="9.53125" bestFit="1" customWidth="1"/>
    <col min="10" max="10" width="16.73046875" customWidth="1"/>
  </cols>
  <sheetData>
    <row r="1" spans="1:10" x14ac:dyDescent="0.45">
      <c r="A1" t="s">
        <v>6</v>
      </c>
      <c r="B1" t="s">
        <v>30</v>
      </c>
      <c r="C1" t="s">
        <v>0</v>
      </c>
      <c r="D1" t="s">
        <v>21</v>
      </c>
      <c r="E1" t="s">
        <v>22</v>
      </c>
      <c r="F1" t="s">
        <v>1</v>
      </c>
      <c r="G1" t="s">
        <v>2</v>
      </c>
      <c r="H1" t="s">
        <v>5</v>
      </c>
      <c r="I1" t="s">
        <v>3</v>
      </c>
      <c r="J1" t="s">
        <v>4</v>
      </c>
    </row>
    <row r="2" spans="1:10" x14ac:dyDescent="0.45">
      <c r="A2" t="s">
        <v>7</v>
      </c>
      <c r="B2" t="s">
        <v>19</v>
      </c>
      <c r="C2" t="s">
        <v>10</v>
      </c>
      <c r="D2">
        <v>16221</v>
      </c>
      <c r="E2">
        <v>64070</v>
      </c>
      <c r="F2">
        <f>SUM(D2/E2)</f>
        <v>0.25317621351646635</v>
      </c>
      <c r="G2" t="s">
        <v>8</v>
      </c>
      <c r="H2" t="s">
        <v>9</v>
      </c>
    </row>
    <row r="3" spans="1:10" x14ac:dyDescent="0.45">
      <c r="A3" t="s">
        <v>7</v>
      </c>
      <c r="B3" t="s">
        <v>19</v>
      </c>
      <c r="C3" t="s">
        <v>11</v>
      </c>
      <c r="D3">
        <v>330</v>
      </c>
      <c r="E3">
        <v>333304</v>
      </c>
      <c r="F3">
        <f t="shared" ref="F3:F9" si="0">SUM(D3/E3)</f>
        <v>9.9008712766723481E-4</v>
      </c>
      <c r="G3" t="s">
        <v>8</v>
      </c>
      <c r="H3" t="s">
        <v>9</v>
      </c>
    </row>
    <row r="4" spans="1:10" x14ac:dyDescent="0.45">
      <c r="A4" t="s">
        <v>7</v>
      </c>
      <c r="B4" t="s">
        <v>19</v>
      </c>
      <c r="C4" t="s">
        <v>12</v>
      </c>
      <c r="D4">
        <v>306</v>
      </c>
      <c r="E4">
        <v>176597</v>
      </c>
      <c r="F4">
        <f t="shared" si="0"/>
        <v>1.7327587671364746E-3</v>
      </c>
      <c r="G4" t="s">
        <v>8</v>
      </c>
      <c r="H4" t="s">
        <v>9</v>
      </c>
    </row>
    <row r="5" spans="1:10" x14ac:dyDescent="0.45">
      <c r="A5" t="s">
        <v>7</v>
      </c>
      <c r="B5" t="s">
        <v>19</v>
      </c>
      <c r="C5" t="s">
        <v>13</v>
      </c>
      <c r="D5">
        <v>82</v>
      </c>
      <c r="E5">
        <v>178469</v>
      </c>
      <c r="F5">
        <f t="shared" si="0"/>
        <v>4.5946354829129991E-4</v>
      </c>
      <c r="G5" t="s">
        <v>8</v>
      </c>
      <c r="H5" t="s">
        <v>9</v>
      </c>
    </row>
    <row r="6" spans="1:10" x14ac:dyDescent="0.45">
      <c r="A6" t="s">
        <v>7</v>
      </c>
      <c r="B6" t="s">
        <v>19</v>
      </c>
      <c r="C6" t="s">
        <v>14</v>
      </c>
      <c r="D6">
        <v>23264</v>
      </c>
      <c r="E6">
        <v>248678</v>
      </c>
      <c r="F6">
        <f t="shared" si="0"/>
        <v>9.355069608087567E-2</v>
      </c>
      <c r="G6" t="s">
        <v>8</v>
      </c>
      <c r="H6" t="s">
        <v>9</v>
      </c>
      <c r="J6" t="s">
        <v>23</v>
      </c>
    </row>
    <row r="7" spans="1:10" x14ac:dyDescent="0.45">
      <c r="A7" t="s">
        <v>7</v>
      </c>
      <c r="B7" t="s">
        <v>19</v>
      </c>
      <c r="C7" t="s">
        <v>15</v>
      </c>
      <c r="D7">
        <v>12091</v>
      </c>
      <c r="E7">
        <v>124006</v>
      </c>
      <c r="F7">
        <f t="shared" si="0"/>
        <v>9.7503346612260691E-2</v>
      </c>
      <c r="G7" t="s">
        <v>8</v>
      </c>
      <c r="H7" t="s">
        <v>9</v>
      </c>
      <c r="J7" t="s">
        <v>23</v>
      </c>
    </row>
    <row r="8" spans="1:10" x14ac:dyDescent="0.45">
      <c r="A8" t="s">
        <v>7</v>
      </c>
      <c r="B8" t="s">
        <v>19</v>
      </c>
      <c r="C8" t="s">
        <v>17</v>
      </c>
      <c r="D8">
        <v>23</v>
      </c>
      <c r="E8">
        <v>203760</v>
      </c>
      <c r="F8">
        <f t="shared" si="0"/>
        <v>1.1287789556340793E-4</v>
      </c>
      <c r="G8" t="s">
        <v>8</v>
      </c>
      <c r="H8" t="s">
        <v>9</v>
      </c>
    </row>
    <row r="9" spans="1:10" x14ac:dyDescent="0.45">
      <c r="A9" t="s">
        <v>18</v>
      </c>
      <c r="B9" t="s">
        <v>19</v>
      </c>
      <c r="C9" t="s">
        <v>10</v>
      </c>
      <c r="D9">
        <v>312</v>
      </c>
      <c r="E9">
        <v>64070</v>
      </c>
      <c r="F9">
        <f t="shared" si="0"/>
        <v>4.8696737942874983E-3</v>
      </c>
      <c r="G9" t="s">
        <v>8</v>
      </c>
      <c r="H9" t="s">
        <v>9</v>
      </c>
    </row>
    <row r="10" spans="1:10" x14ac:dyDescent="0.45">
      <c r="A10" t="s">
        <v>27</v>
      </c>
      <c r="B10" t="s">
        <v>31</v>
      </c>
      <c r="C10" t="s">
        <v>24</v>
      </c>
      <c r="D10">
        <v>26584</v>
      </c>
      <c r="E10">
        <v>39602</v>
      </c>
      <c r="F10">
        <f>SUM(D10/E10)</f>
        <v>0.67127922832180198</v>
      </c>
      <c r="G10" t="s">
        <v>25</v>
      </c>
      <c r="H10" t="s">
        <v>26</v>
      </c>
    </row>
    <row r="11" spans="1:10" ht="15.75" x14ac:dyDescent="0.45">
      <c r="A11" s="1" t="s">
        <v>28</v>
      </c>
      <c r="B11" t="s">
        <v>31</v>
      </c>
      <c r="C11" t="s">
        <v>24</v>
      </c>
      <c r="D11">
        <v>4015</v>
      </c>
      <c r="E11">
        <v>39602</v>
      </c>
      <c r="F11">
        <f>SUM(D11/E11)</f>
        <v>0.10138376849654059</v>
      </c>
      <c r="G11" t="s">
        <v>25</v>
      </c>
      <c r="H11" t="s">
        <v>26</v>
      </c>
    </row>
    <row r="12" spans="1:10" x14ac:dyDescent="0.45">
      <c r="A12" t="s">
        <v>29</v>
      </c>
      <c r="B12" t="s">
        <v>31</v>
      </c>
      <c r="C12" t="s">
        <v>24</v>
      </c>
      <c r="D12">
        <v>2219</v>
      </c>
      <c r="E12">
        <v>39602</v>
      </c>
      <c r="F12">
        <f>SUM(D12/E12)</f>
        <v>5.6032523609918693E-2</v>
      </c>
      <c r="G12" t="s">
        <v>25</v>
      </c>
      <c r="H12" t="s">
        <v>26</v>
      </c>
    </row>
    <row r="13" spans="1:10" x14ac:dyDescent="0.45">
      <c r="A13" t="s">
        <v>32</v>
      </c>
      <c r="B13" t="s">
        <v>31</v>
      </c>
      <c r="C13" t="s">
        <v>24</v>
      </c>
      <c r="D13">
        <v>2037</v>
      </c>
      <c r="E13">
        <v>39602</v>
      </c>
      <c r="F13">
        <f>SUM(D13/E13)</f>
        <v>5.1436796121408009E-2</v>
      </c>
      <c r="G13" t="s">
        <v>25</v>
      </c>
      <c r="H13" t="s">
        <v>26</v>
      </c>
    </row>
    <row r="14" spans="1:10" x14ac:dyDescent="0.45">
      <c r="A14" t="s">
        <v>33</v>
      </c>
      <c r="B14" t="s">
        <v>31</v>
      </c>
      <c r="C14" t="s">
        <v>24</v>
      </c>
      <c r="D14">
        <v>1742</v>
      </c>
      <c r="E14">
        <v>39602</v>
      </c>
      <c r="F14">
        <f>SUM(D14/E14)</f>
        <v>4.3987677390030809E-2</v>
      </c>
      <c r="G14" t="s">
        <v>25</v>
      </c>
      <c r="H14" t="s">
        <v>26</v>
      </c>
    </row>
    <row r="15" spans="1:10" x14ac:dyDescent="0.45">
      <c r="A15" t="s">
        <v>34</v>
      </c>
      <c r="B15" t="s">
        <v>31</v>
      </c>
      <c r="C15" t="s">
        <v>24</v>
      </c>
      <c r="D15">
        <v>1354</v>
      </c>
      <c r="E15">
        <v>39602</v>
      </c>
      <c r="F15">
        <f>SUM(D15/E15)</f>
        <v>3.419019241452452E-2</v>
      </c>
      <c r="G15" t="s">
        <v>25</v>
      </c>
      <c r="H15" t="s">
        <v>26</v>
      </c>
    </row>
    <row r="16" spans="1:10" x14ac:dyDescent="0.45">
      <c r="A16" t="s">
        <v>35</v>
      </c>
      <c r="B16" t="s">
        <v>31</v>
      </c>
      <c r="C16" t="s">
        <v>24</v>
      </c>
      <c r="D16">
        <v>644</v>
      </c>
      <c r="E16">
        <v>39602</v>
      </c>
      <c r="F16">
        <f>SUM(D16/E16)</f>
        <v>1.6261804959345486E-2</v>
      </c>
      <c r="G16" t="s">
        <v>25</v>
      </c>
      <c r="H16" t="s">
        <v>26</v>
      </c>
    </row>
    <row r="17" spans="1:10" x14ac:dyDescent="0.45">
      <c r="A17" t="s">
        <v>36</v>
      </c>
      <c r="B17" t="s">
        <v>31</v>
      </c>
      <c r="C17" t="s">
        <v>24</v>
      </c>
      <c r="D17">
        <v>321</v>
      </c>
      <c r="E17">
        <v>39602</v>
      </c>
      <c r="F17">
        <f>SUM(D17/E17)</f>
        <v>8.1056512297358711E-3</v>
      </c>
      <c r="G17" t="s">
        <v>25</v>
      </c>
      <c r="H17" t="s">
        <v>26</v>
      </c>
    </row>
    <row r="18" spans="1:10" x14ac:dyDescent="0.45">
      <c r="A18" t="s">
        <v>37</v>
      </c>
      <c r="B18" t="s">
        <v>31</v>
      </c>
      <c r="C18" t="s">
        <v>24</v>
      </c>
      <c r="D18">
        <v>289</v>
      </c>
      <c r="E18">
        <v>39602</v>
      </c>
      <c r="F18">
        <f>SUM(D18/E18)</f>
        <v>7.2976112317559719E-3</v>
      </c>
      <c r="G18" t="s">
        <v>25</v>
      </c>
      <c r="H18" t="s">
        <v>26</v>
      </c>
    </row>
    <row r="19" spans="1:10" x14ac:dyDescent="0.45">
      <c r="A19" t="s">
        <v>38</v>
      </c>
      <c r="B19" t="s">
        <v>31</v>
      </c>
      <c r="C19" t="s">
        <v>24</v>
      </c>
      <c r="D19">
        <v>160</v>
      </c>
      <c r="E19">
        <v>39602</v>
      </c>
      <c r="F19">
        <f>SUM(D19/E19)</f>
        <v>4.0401999898995004E-3</v>
      </c>
      <c r="G19" t="s">
        <v>25</v>
      </c>
      <c r="H19" t="s">
        <v>26</v>
      </c>
    </row>
    <row r="20" spans="1:10" x14ac:dyDescent="0.45">
      <c r="A20" t="s">
        <v>39</v>
      </c>
      <c r="B20" t="s">
        <v>31</v>
      </c>
      <c r="C20" t="s">
        <v>24</v>
      </c>
      <c r="D20">
        <v>143</v>
      </c>
      <c r="E20">
        <v>39602</v>
      </c>
      <c r="F20">
        <f>SUM(D20/E20)</f>
        <v>3.610928740972678E-3</v>
      </c>
      <c r="G20" t="s">
        <v>25</v>
      </c>
      <c r="H20" t="s">
        <v>26</v>
      </c>
    </row>
    <row r="21" spans="1:10" x14ac:dyDescent="0.45">
      <c r="A21" t="s">
        <v>40</v>
      </c>
      <c r="B21" t="s">
        <v>20</v>
      </c>
      <c r="C21" t="s">
        <v>11</v>
      </c>
      <c r="D21">
        <v>569</v>
      </c>
      <c r="E21">
        <v>333304</v>
      </c>
      <c r="F21">
        <f>SUM(D21/E21)</f>
        <v>1.7071502292201714E-3</v>
      </c>
      <c r="G21" t="s">
        <v>41</v>
      </c>
      <c r="H21" t="s">
        <v>42</v>
      </c>
    </row>
    <row r="22" spans="1:10" x14ac:dyDescent="0.45">
      <c r="A22" t="s">
        <v>43</v>
      </c>
      <c r="B22" t="s">
        <v>20</v>
      </c>
      <c r="C22" t="s">
        <v>44</v>
      </c>
      <c r="D22">
        <v>383</v>
      </c>
      <c r="E22">
        <v>113579</v>
      </c>
      <c r="F22">
        <f>SUM(D22/E22)</f>
        <v>3.3721022372093434E-3</v>
      </c>
      <c r="G22" t="s">
        <v>41</v>
      </c>
      <c r="H22" t="s">
        <v>42</v>
      </c>
    </row>
    <row r="23" spans="1:10" x14ac:dyDescent="0.45">
      <c r="A23" t="s">
        <v>45</v>
      </c>
      <c r="B23" t="s">
        <v>20</v>
      </c>
      <c r="C23" t="s">
        <v>14</v>
      </c>
      <c r="D23">
        <v>148</v>
      </c>
      <c r="E23">
        <v>248678</v>
      </c>
      <c r="F23">
        <f>SUM(D23/E23)</f>
        <v>5.9514713806609347E-4</v>
      </c>
      <c r="G23" t="s">
        <v>41</v>
      </c>
      <c r="H23" t="s">
        <v>42</v>
      </c>
      <c r="J23" t="s">
        <v>23</v>
      </c>
    </row>
    <row r="24" spans="1:10" x14ac:dyDescent="0.45">
      <c r="A24" t="s">
        <v>46</v>
      </c>
      <c r="B24" t="s">
        <v>20</v>
      </c>
      <c r="C24" t="s">
        <v>14</v>
      </c>
      <c r="D24">
        <v>89</v>
      </c>
      <c r="E24">
        <v>248678</v>
      </c>
      <c r="F24">
        <f>SUM(D24/E24)</f>
        <v>3.5789253572893458E-4</v>
      </c>
      <c r="G24" t="s">
        <v>41</v>
      </c>
      <c r="H24" t="s">
        <v>42</v>
      </c>
      <c r="J24" t="s">
        <v>23</v>
      </c>
    </row>
    <row r="25" spans="1:10" x14ac:dyDescent="0.45">
      <c r="A25" t="s">
        <v>40</v>
      </c>
      <c r="B25" t="s">
        <v>20</v>
      </c>
      <c r="C25" t="s">
        <v>14</v>
      </c>
      <c r="D25">
        <v>31704</v>
      </c>
      <c r="E25">
        <v>248678</v>
      </c>
      <c r="F25">
        <f t="shared" ref="F25:F26" si="1">SUM(D25/E25)</f>
        <v>0.12749016800842858</v>
      </c>
      <c r="G25" t="s">
        <v>41</v>
      </c>
      <c r="H25" t="s">
        <v>42</v>
      </c>
      <c r="J25" t="s">
        <v>23</v>
      </c>
    </row>
    <row r="26" spans="1:10" x14ac:dyDescent="0.45">
      <c r="A26" t="s">
        <v>40</v>
      </c>
      <c r="B26" t="s">
        <v>20</v>
      </c>
      <c r="C26" t="s">
        <v>15</v>
      </c>
      <c r="D26">
        <v>14527</v>
      </c>
      <c r="E26">
        <v>124006</v>
      </c>
      <c r="F26">
        <f t="shared" si="1"/>
        <v>0.11714755737625598</v>
      </c>
      <c r="G26" t="s">
        <v>41</v>
      </c>
      <c r="H26" t="s">
        <v>42</v>
      </c>
      <c r="J26" t="s">
        <v>23</v>
      </c>
    </row>
    <row r="27" spans="1:10" x14ac:dyDescent="0.45">
      <c r="A27" t="s">
        <v>40</v>
      </c>
      <c r="B27" t="s">
        <v>20</v>
      </c>
      <c r="C27" t="s">
        <v>47</v>
      </c>
      <c r="D27">
        <v>124</v>
      </c>
      <c r="E27">
        <v>332161</v>
      </c>
      <c r="F27">
        <f t="shared" ref="F27:F31" si="2">SUM(D27/E27)</f>
        <v>3.7331294161566228E-4</v>
      </c>
      <c r="G27" t="s">
        <v>41</v>
      </c>
      <c r="H27" t="s">
        <v>42</v>
      </c>
    </row>
    <row r="28" spans="1:10" x14ac:dyDescent="0.45">
      <c r="A28" t="s">
        <v>40</v>
      </c>
      <c r="B28" t="s">
        <v>20</v>
      </c>
      <c r="C28" t="s">
        <v>16</v>
      </c>
      <c r="D28">
        <v>54</v>
      </c>
      <c r="E28">
        <v>203760</v>
      </c>
      <c r="F28">
        <f t="shared" si="2"/>
        <v>2.6501766784452294E-4</v>
      </c>
      <c r="G28" t="s">
        <v>41</v>
      </c>
      <c r="H28" t="s">
        <v>42</v>
      </c>
    </row>
    <row r="29" spans="1:10" x14ac:dyDescent="0.45">
      <c r="A29" t="s">
        <v>40</v>
      </c>
      <c r="B29" t="s">
        <v>20</v>
      </c>
      <c r="C29" t="s">
        <v>48</v>
      </c>
      <c r="D29">
        <v>30</v>
      </c>
      <c r="E29">
        <v>278619</v>
      </c>
      <c r="F29">
        <f t="shared" si="2"/>
        <v>1.0767392029976419E-4</v>
      </c>
      <c r="G29" t="s">
        <v>41</v>
      </c>
      <c r="H29" t="s">
        <v>42</v>
      </c>
    </row>
    <row r="30" spans="1:10" x14ac:dyDescent="0.45">
      <c r="A30" t="s">
        <v>40</v>
      </c>
      <c r="B30" t="s">
        <v>20</v>
      </c>
      <c r="C30" t="s">
        <v>49</v>
      </c>
      <c r="D30">
        <v>165</v>
      </c>
      <c r="E30">
        <v>371059</v>
      </c>
      <c r="F30">
        <f t="shared" si="2"/>
        <v>4.4467321908375757E-4</v>
      </c>
      <c r="G30" t="s">
        <v>41</v>
      </c>
      <c r="H30" t="s">
        <v>42</v>
      </c>
    </row>
    <row r="31" spans="1:10" x14ac:dyDescent="0.45">
      <c r="A31" t="s">
        <v>40</v>
      </c>
      <c r="B31" t="s">
        <v>20</v>
      </c>
      <c r="C31" t="s">
        <v>50</v>
      </c>
      <c r="D31">
        <v>135</v>
      </c>
      <c r="E31">
        <v>212846</v>
      </c>
      <c r="F31">
        <f t="shared" si="2"/>
        <v>6.3426139086475669E-4</v>
      </c>
      <c r="G31" t="s">
        <v>41</v>
      </c>
      <c r="H31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Mollie E Ball</dc:creator>
  <cp:lastModifiedBy>Mollie E Ball</cp:lastModifiedBy>
  <dcterms:created xsi:type="dcterms:W3CDTF">2026-07-16T00:54:56Z</dcterms:created>
  <dcterms:modified xsi:type="dcterms:W3CDTF">2026-07-16T22:53:54Z</dcterms:modified>
</cp:coreProperties>
</file>